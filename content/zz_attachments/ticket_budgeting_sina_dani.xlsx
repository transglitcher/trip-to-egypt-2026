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<sst xmlns="http://schemas.openxmlformats.org/spreadsheetml/2006/main" count="28" uniqueCount="28">
  <si>
    <t xml:space="preserve">Place</t>
  </si>
  <si>
    <t xml:space="preserve">Foreigner ticket price (EGP)</t>
  </si>
  <si>
    <t xml:space="preserve">Foreigner ticket price (USD)</t>
  </si>
  <si>
    <t xml:space="preserve">Foreigner ticket price (LKR)</t>
  </si>
  <si>
    <t xml:space="preserve">Egyptian ticket price (EGP)</t>
  </si>
  <si>
    <t xml:space="preserve">USD to EGP</t>
  </si>
  <si>
    <t xml:space="preserve">LKR to EGP</t>
  </si>
  <si>
    <t xml:space="preserve">Cairo Citadel </t>
  </si>
  <si>
    <t xml:space="preserve">National Police Museum</t>
  </si>
  <si>
    <t xml:space="preserve">The Coptic Museum</t>
  </si>
  <si>
    <t xml:space="preserve">Mosque and Madrasa of Sultan Hasan</t>
  </si>
  <si>
    <t xml:space="preserve">Gayer Anderson Museum</t>
  </si>
  <si>
    <t xml:space="preserve">GEM Admission ticket for 2.5 hrs</t>
  </si>
  <si>
    <t xml:space="preserve">GEM Guided tour ticket for 2 hrs, probably</t>
  </si>
  <si>
    <t xml:space="preserve">Al-Mu'izz Street</t>
  </si>
  <si>
    <t xml:space="preserve">Bayt Al-Suhaymi ("House of Suhaymi")</t>
  </si>
  <si>
    <t xml:space="preserve">National Museum of Egyptian Civilization</t>
  </si>
  <si>
    <t xml:space="preserve">Giza Platueau</t>
  </si>
  <si>
    <t xml:space="preserve">The Great Pyramid</t>
  </si>
  <si>
    <t xml:space="preserve">Pyramid Complex of Menkaure</t>
  </si>
  <si>
    <t xml:space="preserve">Tomb of Queen Meresankh III</t>
  </si>
  <si>
    <t xml:space="preserve">Workers’ Town and Cemetery</t>
  </si>
  <si>
    <t xml:space="preserve">Saqqara all inclusive ticket</t>
  </si>
  <si>
    <t xml:space="preserve">Rawda Island Nilometer</t>
  </si>
  <si>
    <t xml:space="preserve">Makan Concert </t>
  </si>
  <si>
    <t xml:space="preserve">Total without the guided tour in GEM</t>
  </si>
  <si>
    <t xml:space="preserve">Total with the guided tour in GEM</t>
  </si>
  <si>
    <t xml:space="preserve">Safety for other concerts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</si>
</sst>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23F62"/>
        <bgColor rgb="FF333333"/>
      </patternFill>
    </fill>
    <fill>
      <patternFill patternType="solid">
        <fgColor rgb="FF63BBEE"/>
        <bgColor rgb="FF99CCFF"/>
      </patternFill>
    </fill>
    <fill>
      <patternFill patternType="solid">
        <fgColor rgb="FF616161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63BBEE"/>
      <rgbColor rgb="FF99CC00"/>
      <rgbColor rgb="FFFFCC00"/>
      <rgbColor rgb="FFFF9900"/>
      <rgbColor rgb="FFFF6600"/>
      <rgbColor rgb="FF616161"/>
      <rgbColor rgb="FF969696"/>
      <rgbColor rgb="FF023F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27" activeCellId="0" sqref="C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2.66"/>
    <col collapsed="false" customWidth="true" hidden="false" outlineLevel="0" max="5" min="2" style="0" width="15.3"/>
  </cols>
  <sheetData>
    <row r="1" customFormat="false" ht="22.3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0" t="s">
        <v>5</v>
      </c>
      <c r="I1" s="0" t="s">
        <v>6</v>
      </c>
    </row>
    <row r="2" customFormat="false" ht="12.8" hidden="false" customHeight="false" outlineLevel="0" collapsed="false">
      <c r="A2" s="1" t="s">
        <v>7</v>
      </c>
      <c r="B2" s="3" t="n">
        <v>550</v>
      </c>
      <c r="C2" s="3" t="n">
        <f aca="false">B2/$H$2</f>
        <v>10.8803165182987</v>
      </c>
      <c r="D2" s="3" t="n">
        <f aca="false">B2/$I$2</f>
        <v>3666.66666666667</v>
      </c>
      <c r="E2" s="3" t="n">
        <v>60</v>
      </c>
      <c r="H2" s="0" t="n">
        <v>50.55</v>
      </c>
      <c r="I2" s="0" t="n">
        <v>0.15</v>
      </c>
    </row>
    <row r="3" customFormat="false" ht="12.8" hidden="false" customHeight="false" outlineLevel="0" collapsed="false">
      <c r="A3" s="1" t="s">
        <v>8</v>
      </c>
      <c r="B3" s="3" t="n">
        <v>200</v>
      </c>
      <c r="C3" s="3" t="n">
        <f aca="false">B3/$H$2</f>
        <v>3.95647873392681</v>
      </c>
      <c r="D3" s="3" t="n">
        <f aca="false">B3/$I$2</f>
        <v>1333.33333333333</v>
      </c>
      <c r="E3" s="3" t="n">
        <v>60</v>
      </c>
    </row>
    <row r="4" customFormat="false" ht="12.8" hidden="false" customHeight="false" outlineLevel="0" collapsed="false">
      <c r="A4" s="1" t="s">
        <v>9</v>
      </c>
      <c r="B4" s="3" t="n">
        <v>280</v>
      </c>
      <c r="C4" s="3" t="n">
        <f aca="false">B4/$H$2</f>
        <v>5.53907022749753</v>
      </c>
      <c r="D4" s="3" t="n">
        <f aca="false">B4/$I$2</f>
        <v>1866.66666666667</v>
      </c>
      <c r="E4" s="1" t="n">
        <v>20</v>
      </c>
    </row>
    <row r="5" customFormat="false" ht="12.8" hidden="false" customHeight="false" outlineLevel="0" collapsed="false">
      <c r="A5" s="1" t="s">
        <v>10</v>
      </c>
      <c r="B5" s="3" t="n">
        <v>220</v>
      </c>
      <c r="C5" s="3" t="n">
        <f aca="false">B5/$H$2</f>
        <v>4.35212660731949</v>
      </c>
      <c r="D5" s="3" t="n">
        <f aca="false">B5/$I$2</f>
        <v>1466.66666666667</v>
      </c>
      <c r="E5" s="1" t="n">
        <v>0</v>
      </c>
    </row>
    <row r="6" customFormat="false" ht="12.8" hidden="false" customHeight="false" outlineLevel="0" collapsed="false">
      <c r="A6" s="1" t="s">
        <v>11</v>
      </c>
      <c r="B6" s="3" t="n">
        <v>100</v>
      </c>
      <c r="C6" s="3" t="n">
        <f aca="false">B6/$H$2</f>
        <v>1.9782393669634</v>
      </c>
      <c r="D6" s="3" t="n">
        <f aca="false">B6/$I$2</f>
        <v>666.666666666667</v>
      </c>
      <c r="E6" s="1" t="n">
        <v>10</v>
      </c>
    </row>
    <row r="7" customFormat="false" ht="12.8" hidden="false" customHeight="false" outlineLevel="0" collapsed="false">
      <c r="A7" s="4" t="s">
        <v>12</v>
      </c>
      <c r="B7" s="5" t="n">
        <v>1590</v>
      </c>
      <c r="C7" s="5" t="n">
        <f aca="false">B7/$H$2</f>
        <v>31.4540059347181</v>
      </c>
      <c r="D7" s="5" t="n">
        <f aca="false">B7/$I$2</f>
        <v>10600</v>
      </c>
      <c r="E7" s="4" t="n">
        <v>200</v>
      </c>
    </row>
    <row r="8" customFormat="false" ht="12.8" hidden="false" customHeight="false" outlineLevel="0" collapsed="false">
      <c r="A8" s="4" t="s">
        <v>13</v>
      </c>
      <c r="B8" s="5" t="n">
        <v>2090</v>
      </c>
      <c r="C8" s="5" t="n">
        <f aca="false">B8/$H$2</f>
        <v>41.3452027695351</v>
      </c>
      <c r="D8" s="5" t="n">
        <f aca="false">B8/$I$2</f>
        <v>13933.3333333333</v>
      </c>
      <c r="E8" s="4" t="n">
        <v>350</v>
      </c>
    </row>
    <row r="9" customFormat="false" ht="12.8" hidden="false" customHeight="false" outlineLevel="0" collapsed="false">
      <c r="A9" s="1" t="s">
        <v>14</v>
      </c>
      <c r="B9" s="3" t="n">
        <v>220</v>
      </c>
      <c r="C9" s="3" t="n">
        <f aca="false">B9/$H$2</f>
        <v>4.35212660731949</v>
      </c>
      <c r="D9" s="3" t="n">
        <f aca="false">B9/$I$2</f>
        <v>1466.66666666667</v>
      </c>
      <c r="E9" s="1" t="n">
        <v>20</v>
      </c>
    </row>
    <row r="10" customFormat="false" ht="12.8" hidden="false" customHeight="false" outlineLevel="0" collapsed="false">
      <c r="A10" s="1" t="s">
        <v>15</v>
      </c>
      <c r="B10" s="3" t="n">
        <v>220</v>
      </c>
      <c r="C10" s="3" t="n">
        <f aca="false">B10/$H$2</f>
        <v>4.35212660731949</v>
      </c>
      <c r="D10" s="3" t="n">
        <f aca="false">B10/$I$2</f>
        <v>1466.66666666667</v>
      </c>
      <c r="E10" s="1" t="n">
        <v>10</v>
      </c>
    </row>
    <row r="11" customFormat="false" ht="12.8" hidden="false" customHeight="false" outlineLevel="0" collapsed="false">
      <c r="A11" s="1" t="s">
        <v>16</v>
      </c>
      <c r="B11" s="3" t="n">
        <v>550</v>
      </c>
      <c r="C11" s="3" t="n">
        <f aca="false">B11/$H$2</f>
        <v>10.8803165182987</v>
      </c>
      <c r="D11" s="3" t="n">
        <f aca="false">B11/$I$2</f>
        <v>3666.66666666667</v>
      </c>
      <c r="E11" s="1" t="n">
        <v>90</v>
      </c>
    </row>
    <row r="12" customFormat="false" ht="12.8" hidden="false" customHeight="false" outlineLevel="0" collapsed="false">
      <c r="A12" s="6" t="s">
        <v>17</v>
      </c>
      <c r="B12" s="7" t="n">
        <v>700</v>
      </c>
      <c r="C12" s="7" t="n">
        <f aca="false">B12/$H$2</f>
        <v>13.8476755687438</v>
      </c>
      <c r="D12" s="7" t="n">
        <f aca="false">B12/$I$2</f>
        <v>4666.66666666667</v>
      </c>
      <c r="E12" s="6" t="n">
        <v>60</v>
      </c>
    </row>
    <row r="13" customFormat="false" ht="12.8" hidden="false" customHeight="false" outlineLevel="0" collapsed="false">
      <c r="A13" s="6" t="s">
        <v>18</v>
      </c>
      <c r="B13" s="7" t="n">
        <v>1000</v>
      </c>
      <c r="C13" s="7" t="n">
        <f aca="false">B13/$H$2</f>
        <v>19.782393669634</v>
      </c>
      <c r="D13" s="7" t="n">
        <f aca="false">B13/$I$2</f>
        <v>6666.66666666667</v>
      </c>
      <c r="E13" s="6" t="n">
        <v>100</v>
      </c>
    </row>
    <row r="14" customFormat="false" ht="12.8" hidden="false" customHeight="false" outlineLevel="0" collapsed="false">
      <c r="A14" s="6" t="s">
        <v>19</v>
      </c>
      <c r="B14" s="7" t="n">
        <v>280</v>
      </c>
      <c r="C14" s="7" t="n">
        <f aca="false">B14/$H$2</f>
        <v>5.53907022749753</v>
      </c>
      <c r="D14" s="7" t="n">
        <f aca="false">B14/$I$2</f>
        <v>1866.66666666667</v>
      </c>
      <c r="E14" s="6" t="n">
        <v>30</v>
      </c>
    </row>
    <row r="15" customFormat="false" ht="12.8" hidden="false" customHeight="false" outlineLevel="0" collapsed="false">
      <c r="A15" s="6" t="s">
        <v>20</v>
      </c>
      <c r="B15" s="7" t="n">
        <v>200</v>
      </c>
      <c r="C15" s="7" t="n">
        <f aca="false">B15/$H$2</f>
        <v>3.95647873392681</v>
      </c>
      <c r="D15" s="7" t="n">
        <f aca="false">B15/$I$2</f>
        <v>1333.33333333333</v>
      </c>
      <c r="E15" s="6" t="n">
        <v>20</v>
      </c>
    </row>
    <row r="16" customFormat="false" ht="12.8" hidden="false" customHeight="false" outlineLevel="0" collapsed="false">
      <c r="A16" s="6" t="s">
        <v>21</v>
      </c>
      <c r="B16" s="7" t="n">
        <v>700</v>
      </c>
      <c r="C16" s="7" t="n">
        <f aca="false">B16/$H$2</f>
        <v>13.8476755687438</v>
      </c>
      <c r="D16" s="7" t="n">
        <f aca="false">B16/$I$2</f>
        <v>4666.66666666667</v>
      </c>
      <c r="E16" s="6" t="n">
        <v>350</v>
      </c>
    </row>
    <row r="17" customFormat="false" ht="12.8" hidden="false" customHeight="false" outlineLevel="0" collapsed="false">
      <c r="A17" s="4" t="s">
        <v>22</v>
      </c>
      <c r="B17" s="5" t="n">
        <v>1400</v>
      </c>
      <c r="C17" s="5" t="n">
        <f aca="false">B17/$H$2</f>
        <v>27.6953511374876</v>
      </c>
      <c r="D17" s="5" t="n">
        <f aca="false">B17/$I$2</f>
        <v>9333.33333333333</v>
      </c>
      <c r="E17" s="4" t="n">
        <v>170</v>
      </c>
    </row>
    <row r="18" customFormat="false" ht="12.8" hidden="false" customHeight="false" outlineLevel="0" collapsed="false">
      <c r="A18" s="1" t="s">
        <v>23</v>
      </c>
      <c r="B18" s="3" t="n">
        <v>120</v>
      </c>
      <c r="C18" s="3" t="n">
        <f aca="false">B18/$H$2</f>
        <v>2.37388724035608</v>
      </c>
      <c r="D18" s="3" t="n">
        <f aca="false">B18/$I$2</f>
        <v>800</v>
      </c>
      <c r="E18" s="1" t="n">
        <v>20</v>
      </c>
    </row>
    <row r="19" customFormat="false" ht="12.8" hidden="false" customHeight="false" outlineLevel="0" collapsed="false">
      <c r="A19" s="1"/>
      <c r="B19" s="3"/>
      <c r="C19" s="1"/>
      <c r="D19" s="1"/>
      <c r="E19" s="1"/>
    </row>
    <row r="20" customFormat="false" ht="12.8" hidden="false" customHeight="false" outlineLevel="0" collapsed="false">
      <c r="A20" s="1" t="s">
        <v>24</v>
      </c>
      <c r="B20" s="3" t="n">
        <v>300</v>
      </c>
      <c r="C20" s="3" t="n">
        <f aca="false">B20/$H$2</f>
        <v>5.93471810089021</v>
      </c>
      <c r="D20" s="3" t="n">
        <f aca="false">B20/$I$2</f>
        <v>2000</v>
      </c>
      <c r="E20" s="1" t="n">
        <v>300</v>
      </c>
    </row>
    <row r="21" customFormat="false" ht="12.8" hidden="false" customHeight="false" outlineLevel="0" collapsed="false">
      <c r="E21" s="1" t="n">
        <v>1500</v>
      </c>
    </row>
    <row r="22" customFormat="false" ht="12.8" hidden="false" customHeight="false" outlineLevel="0" collapsed="false">
      <c r="A22" s="8" t="s">
        <v>25</v>
      </c>
      <c r="B22" s="9" t="n">
        <f aca="false">SUBTOTAL(9,B2:B7,B9:B20)</f>
        <v>8630</v>
      </c>
      <c r="C22" s="9" t="n">
        <f aca="false">SUBTOTAL(9,C2:C7,C9:C20)</f>
        <v>170.722057368942</v>
      </c>
      <c r="D22" s="9" t="n">
        <f aca="false">SUBTOTAL(9,D2:D7,D9:D20)</f>
        <v>57533.3333333333</v>
      </c>
      <c r="E22" s="9" t="n">
        <f aca="false">SUBTOTAL(9,E2:E7,E9:E20)</f>
        <v>1520</v>
      </c>
    </row>
    <row r="23" customFormat="false" ht="12.8" hidden="false" customHeight="false" outlineLevel="0" collapsed="false">
      <c r="A23" s="8" t="s">
        <v>26</v>
      </c>
      <c r="B23" s="9" t="n">
        <f aca="false">SUBTOTAL(9,B2:B6,B8:B20)</f>
        <v>9130</v>
      </c>
      <c r="C23" s="9" t="n">
        <f aca="false">SUBTOTAL(9,C2:C6,C8:C20)</f>
        <v>180.613254203759</v>
      </c>
      <c r="D23" s="9" t="n">
        <f aca="false">SUBTOTAL(9,D2:D6,D8:D20)</f>
        <v>60866.6666666667</v>
      </c>
      <c r="E23" s="9" t="n">
        <f aca="false">SUBTOTAL(9,E2:E6,E8:E20)</f>
        <v>1670</v>
      </c>
    </row>
    <row r="24" customFormat="false" ht="12.8" hidden="false" customHeight="false" outlineLevel="0" collapsed="false">
      <c r="A24" s="1" t="s">
        <v>27</v>
      </c>
      <c r="B24" s="3" t="n">
        <v>1500</v>
      </c>
      <c r="C24" s="3" t="n">
        <f aca="false">B24/$H$2</f>
        <v>29.673590504451</v>
      </c>
      <c r="D24" s="3" t="n">
        <f aca="false">B24/$I$2</f>
        <v>10000</v>
      </c>
    </row>
    <row r="25" customFormat="false" ht="12.8" hidden="false" customHeight="false" outlineLevel="0" collapsed="false">
      <c r="A25" s="1"/>
      <c r="B25" s="10"/>
    </row>
    <row r="26" customFormat="false" ht="12.8" hidden="false" customHeight="false" outlineLevel="0" collapsed="false">
      <c r="B26" s="10"/>
    </row>
    <row r="27" customFormat="false" ht="12.8" hidden="false" customHeight="false" outlineLevel="0" collapsed="false">
      <c r="B27" s="10"/>
    </row>
    <row r="28" customFormat="false" ht="12.8" hidden="false" customHeight="false" outlineLevel="0" collapsed="false">
      <c r="B28" s="10"/>
    </row>
    <row r="29" customFormat="false" ht="12.8" hidden="false" customHeight="false" outlineLevel="0" collapsed="false">
      <c r="B29" s="10"/>
    </row>
    <row r="30" customFormat="false" ht="12.8" hidden="false" customHeight="false" outlineLevel="0" collapsed="false">
      <c r="B30" s="1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2026-07-28T15:07:11Z</dcterms:created>
  <dc:creator/>
  <dc:description/>
  <dc:language>en-US</dc:language>
  <cp:lastModifiedBy/>
  <dcterms:modified xsi:type="dcterms:W3CDTF">2026-07-28T18:32:19Z</dcterms:modified>
  <cp:revision>2</cp:revision>
  <dc:subject/>
  <dc:title/>
</cp:coreProperties>
</file>